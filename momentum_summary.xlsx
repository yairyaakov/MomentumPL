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lomiasraf/Desktop/degree/MomentumProject/"/>
    </mc:Choice>
  </mc:AlternateContent>
  <xr:revisionPtr revIDLastSave="0" documentId="13_ncr:1_{3B30DC7B-9EE3-C344-96F7-234750C66806}" xr6:coauthVersionLast="47" xr6:coauthVersionMax="47" xr10:uidLastSave="{00000000-0000-0000-0000-000000000000}"/>
  <bookViews>
    <workbookView xWindow="0" yWindow="760" windowWidth="30240" windowHeight="17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" l="1"/>
  <c r="M8" i="1"/>
  <c r="N8" i="1"/>
  <c r="K8" i="1"/>
  <c r="E8" i="1"/>
  <c r="C8" i="1"/>
  <c r="G8" i="1"/>
  <c r="H8" i="1"/>
  <c r="I8" i="1"/>
  <c r="J8" i="1"/>
  <c r="F8" i="1"/>
  <c r="D8" i="1"/>
  <c r="I9" i="1" l="1"/>
  <c r="J9" i="1"/>
  <c r="G9" i="1"/>
</calcChain>
</file>

<file path=xl/sharedStrings.xml><?xml version="1.0" encoding="utf-8"?>
<sst xmlns="http://schemas.openxmlformats.org/spreadsheetml/2006/main" count="31" uniqueCount="23">
  <si>
    <t>year</t>
  </si>
  <si>
    <t>23/24</t>
  </si>
  <si>
    <t>22/23</t>
  </si>
  <si>
    <t>21/22</t>
  </si>
  <si>
    <t>20/21</t>
  </si>
  <si>
    <t>19/20</t>
  </si>
  <si>
    <t>total</t>
  </si>
  <si>
    <t>percent</t>
  </si>
  <si>
    <t>Total Matches Analyzed</t>
  </si>
  <si>
    <t>Momentum Winner Victories</t>
  </si>
  <si>
    <t>Total Cases Where Momentum Switched</t>
  </si>
  <si>
    <t>Momentum Switched &amp; Negative Winners</t>
  </si>
  <si>
    <t>Momentum Switched &amp; Positive Winners</t>
  </si>
  <si>
    <t>Wins Positive Tight</t>
  </si>
  <si>
    <t>Wins Positive not-Tight</t>
  </si>
  <si>
    <t>Loss Negative Tight</t>
  </si>
  <si>
    <t>Loss Negative not-Tight</t>
  </si>
  <si>
    <t>Average Season Win</t>
  </si>
  <si>
    <t>Average WW Momentum Win</t>
  </si>
  <si>
    <t xml:space="preserve">Average Season Lose </t>
  </si>
  <si>
    <t>Average LL Momentum Loss</t>
  </si>
  <si>
    <t>-</t>
  </si>
  <si>
    <t>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</si>
</sst>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top"/>
    </xf>
    <xf numFmtId="10" fontId="0" fillId="3" borderId="1" xfId="0" applyNumberFormat="1" applyFill="1" applyBorder="1" applyAlignment="1">
      <alignment horizontal="center"/>
    </xf>
    <xf numFmtId="10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topLeftCell="H1" zoomScaleNormal="100" workbookViewId="0">
      <selection activeCell="N9" sqref="N9"/>
    </sheetView>
  </sheetViews>
  <sheetFormatPr baseColWidth="10" defaultColWidth="8.83203125" defaultRowHeight="14" x14ac:dyDescent="0.15"/>
  <cols>
    <col min="1" max="1" width="23.1640625" bestFit="1" customWidth="1"/>
    <col min="2" max="2" width="27.5" bestFit="1" customWidth="1"/>
    <col min="3" max="3" width="33.6640625" bestFit="1" customWidth="1"/>
    <col min="4" max="4" width="38" bestFit="1" customWidth="1"/>
    <col min="5" max="6" width="32.83203125" bestFit="1" customWidth="1"/>
    <col min="7" max="7" width="38" bestFit="1" customWidth="1"/>
    <col min="8" max="8" width="37.1640625" bestFit="1" customWidth="1"/>
    <col min="9" max="9" width="38" bestFit="1" customWidth="1"/>
    <col min="10" max="10" width="37.1640625" bestFit="1" customWidth="1"/>
    <col min="11" max="11" width="38" bestFit="1" customWidth="1"/>
    <col min="12" max="12" width="31.33203125" bestFit="1" customWidth="1"/>
    <col min="13" max="13" width="32.33203125" bestFit="1" customWidth="1"/>
    <col min="14" max="15" width="22.33203125" bestFit="1" customWidth="1"/>
    <col min="16" max="16" width="26.6640625" bestFit="1" customWidth="1"/>
  </cols>
  <sheetData>
    <row r="1" spans="1:14" x14ac:dyDescent="0.15">
      <c r="A1" s="6" t="s">
        <v>0</v>
      </c>
      <c r="B1" s="5" t="s">
        <v>17</v>
      </c>
      <c r="C1" s="5" t="s">
        <v>18</v>
      </c>
      <c r="D1" s="5" t="s">
        <v>19</v>
      </c>
      <c r="E1" s="5" t="s">
        <v>20</v>
      </c>
      <c r="F1" s="1" t="s">
        <v>8</v>
      </c>
      <c r="G1" s="1" t="s">
        <v>9</v>
      </c>
      <c r="H1" s="1" t="s">
        <v>10</v>
      </c>
      <c r="I1" s="1" t="s">
        <v>12</v>
      </c>
      <c r="J1" s="1" t="s">
        <v>11</v>
      </c>
      <c r="K1" s="9" t="s">
        <v>13</v>
      </c>
      <c r="L1" s="9" t="s">
        <v>14</v>
      </c>
      <c r="M1" s="9" t="s">
        <v>15</v>
      </c>
      <c r="N1" s="9" t="s">
        <v>16</v>
      </c>
    </row>
    <row r="2" spans="1:14" x14ac:dyDescent="0.15">
      <c r="A2" s="7" t="s">
        <v>22</v>
      </c>
      <c r="B2" s="10">
        <v>0.5</v>
      </c>
      <c r="C2" s="10">
        <v>0.63300000000000001</v>
      </c>
      <c r="D2" s="10">
        <v>0.5</v>
      </c>
      <c r="E2" s="10">
        <v>0.52900000000000003</v>
      </c>
      <c r="F2" s="2">
        <v>297</v>
      </c>
      <c r="G2" s="2">
        <v>139</v>
      </c>
      <c r="H2" s="2">
        <v>41</v>
      </c>
      <c r="I2" s="2">
        <v>2</v>
      </c>
      <c r="J2" s="2">
        <v>5</v>
      </c>
      <c r="K2" s="11">
        <v>0.64</v>
      </c>
      <c r="L2" s="11">
        <v>0.64</v>
      </c>
      <c r="M2" s="11">
        <v>0.58799999999999997</v>
      </c>
      <c r="N2" s="11">
        <v>0.55500000000000005</v>
      </c>
    </row>
    <row r="3" spans="1:14" x14ac:dyDescent="0.15">
      <c r="A3" s="7" t="s">
        <v>1</v>
      </c>
      <c r="B3" s="10">
        <v>0.5</v>
      </c>
      <c r="C3" s="10">
        <v>0.62</v>
      </c>
      <c r="D3" s="10">
        <v>0.5</v>
      </c>
      <c r="E3" s="10">
        <v>0.55800000000000005</v>
      </c>
      <c r="F3" s="2">
        <v>316</v>
      </c>
      <c r="G3" s="2">
        <v>163</v>
      </c>
      <c r="H3" s="2">
        <v>46</v>
      </c>
      <c r="I3" s="2">
        <v>8</v>
      </c>
      <c r="J3" s="2">
        <v>3</v>
      </c>
      <c r="K3" s="11">
        <v>0.71299999999999997</v>
      </c>
      <c r="L3" s="11">
        <v>0.60099999999999998</v>
      </c>
      <c r="M3" s="11">
        <v>0.70799999999999996</v>
      </c>
      <c r="N3" s="11">
        <v>0.53</v>
      </c>
    </row>
    <row r="4" spans="1:14" x14ac:dyDescent="0.15">
      <c r="A4" s="7" t="s">
        <v>2</v>
      </c>
      <c r="B4" s="10">
        <v>0.5</v>
      </c>
      <c r="C4" s="10">
        <v>0.51700000000000002</v>
      </c>
      <c r="D4" s="10">
        <v>0.5</v>
      </c>
      <c r="E4" s="10">
        <v>0.54900000000000004</v>
      </c>
      <c r="F4" s="2">
        <v>304</v>
      </c>
      <c r="G4" s="2">
        <v>147</v>
      </c>
      <c r="H4" s="2">
        <v>51</v>
      </c>
      <c r="I4" s="2">
        <v>4</v>
      </c>
      <c r="J4" s="2">
        <v>2</v>
      </c>
      <c r="K4" s="11">
        <v>0.64500000000000002</v>
      </c>
      <c r="L4" s="11">
        <v>0.502</v>
      </c>
      <c r="M4" s="11">
        <v>0.64400000000000002</v>
      </c>
      <c r="N4" s="11">
        <v>0.56200000000000006</v>
      </c>
    </row>
    <row r="5" spans="1:14" x14ac:dyDescent="0.15">
      <c r="A5" s="7" t="s">
        <v>3</v>
      </c>
      <c r="B5" s="10">
        <v>0.5</v>
      </c>
      <c r="C5" s="10">
        <v>0.60499999999999998</v>
      </c>
      <c r="D5" s="10">
        <v>0.5</v>
      </c>
      <c r="E5" s="10">
        <v>0.69499999999999995</v>
      </c>
      <c r="F5" s="2">
        <v>305</v>
      </c>
      <c r="G5" s="2">
        <v>143</v>
      </c>
      <c r="H5" s="2">
        <v>51</v>
      </c>
      <c r="I5" s="2">
        <v>4</v>
      </c>
      <c r="J5" s="2">
        <v>5</v>
      </c>
      <c r="K5" s="11">
        <v>0.57099999999999995</v>
      </c>
      <c r="L5" s="11">
        <v>0.60499999999999998</v>
      </c>
      <c r="M5" s="11">
        <v>0.65400000000000003</v>
      </c>
      <c r="N5" s="11">
        <v>0.72</v>
      </c>
    </row>
    <row r="6" spans="1:14" x14ac:dyDescent="0.15">
      <c r="A6" s="7" t="s">
        <v>4</v>
      </c>
      <c r="B6" s="10">
        <v>0.5</v>
      </c>
      <c r="C6" s="10">
        <v>0.58299999999999996</v>
      </c>
      <c r="D6" s="10">
        <v>0.5</v>
      </c>
      <c r="E6" s="10">
        <v>0.49099999999999999</v>
      </c>
      <c r="F6" s="2">
        <v>304</v>
      </c>
      <c r="G6" s="2">
        <v>138</v>
      </c>
      <c r="H6" s="2">
        <v>56</v>
      </c>
      <c r="I6" s="2">
        <v>8</v>
      </c>
      <c r="J6" s="2">
        <v>6</v>
      </c>
      <c r="K6" s="11">
        <v>0.66400000000000003</v>
      </c>
      <c r="L6" s="11">
        <v>0.56799999999999995</v>
      </c>
      <c r="M6" s="11">
        <v>0.51400000000000001</v>
      </c>
      <c r="N6" s="11">
        <v>0.48899999999999999</v>
      </c>
    </row>
    <row r="7" spans="1:14" x14ac:dyDescent="0.15">
      <c r="A7" s="7" t="s">
        <v>5</v>
      </c>
      <c r="B7" s="10">
        <v>0.5</v>
      </c>
      <c r="C7" s="10">
        <v>0.51</v>
      </c>
      <c r="D7" s="10">
        <v>0.5</v>
      </c>
      <c r="E7" s="10">
        <v>0.54900000000000004</v>
      </c>
      <c r="F7" s="2">
        <v>316</v>
      </c>
      <c r="G7" s="2">
        <v>134</v>
      </c>
      <c r="H7" s="2">
        <v>52</v>
      </c>
      <c r="I7" s="2">
        <v>2</v>
      </c>
      <c r="J7" s="2">
        <v>8</v>
      </c>
      <c r="K7" s="11">
        <v>0.67900000000000005</v>
      </c>
      <c r="L7" s="11">
        <v>0.47299999999999998</v>
      </c>
      <c r="M7" s="11">
        <v>0.64</v>
      </c>
      <c r="N7" s="11">
        <v>0.52600000000000002</v>
      </c>
    </row>
    <row r="8" spans="1:14" x14ac:dyDescent="0.15">
      <c r="A8" s="6" t="s">
        <v>6</v>
      </c>
      <c r="B8" s="10">
        <v>0.5</v>
      </c>
      <c r="C8" s="10">
        <f>AVERAGE(C2:C7)</f>
        <v>0.57799999999999996</v>
      </c>
      <c r="D8" s="10">
        <f t="shared" ref="D8:E8" si="0">AVERAGE(D3:D7)</f>
        <v>0.5</v>
      </c>
      <c r="E8" s="10">
        <f>AVERAGE(E2:E7)</f>
        <v>0.5618333333333333</v>
      </c>
      <c r="F8" s="3">
        <f>SUM(F2:F7)</f>
        <v>1842</v>
      </c>
      <c r="G8" s="3">
        <f t="shared" ref="G8:J8" si="1">SUM(G2:G7)</f>
        <v>864</v>
      </c>
      <c r="H8" s="3">
        <f t="shared" si="1"/>
        <v>297</v>
      </c>
      <c r="I8" s="3">
        <f t="shared" si="1"/>
        <v>28</v>
      </c>
      <c r="J8" s="3">
        <f t="shared" si="1"/>
        <v>29</v>
      </c>
      <c r="K8" s="11">
        <f>AVERAGE(K2:K7)</f>
        <v>0.65200000000000002</v>
      </c>
      <c r="L8" s="11">
        <f t="shared" ref="L8:N8" si="2">AVERAGE(L2:L7)</f>
        <v>0.5648333333333333</v>
      </c>
      <c r="M8" s="11">
        <f t="shared" si="2"/>
        <v>0.62466666666666659</v>
      </c>
      <c r="N8" s="11">
        <f t="shared" si="2"/>
        <v>0.56366666666666665</v>
      </c>
    </row>
    <row r="9" spans="1:14" x14ac:dyDescent="0.15">
      <c r="A9" s="8" t="s">
        <v>7</v>
      </c>
      <c r="B9" s="10" t="s">
        <v>21</v>
      </c>
      <c r="C9" s="10" t="s">
        <v>21</v>
      </c>
      <c r="D9" s="10" t="s">
        <v>21</v>
      </c>
      <c r="E9" s="10" t="s">
        <v>21</v>
      </c>
      <c r="F9" s="2" t="s">
        <v>21</v>
      </c>
      <c r="G9" s="4">
        <f>G8 / (F8)</f>
        <v>0.46905537459283386</v>
      </c>
      <c r="H9" s="2">
        <v>256</v>
      </c>
      <c r="I9" s="4">
        <f>I8 / (H8)</f>
        <v>9.4276094276094277E-2</v>
      </c>
      <c r="J9" s="4">
        <f>J8 / (H8)</f>
        <v>9.7643097643097643E-2</v>
      </c>
      <c r="K9" s="11" t="s">
        <v>21</v>
      </c>
      <c r="L9" s="11" t="s">
        <v>21</v>
      </c>
      <c r="M9" s="11" t="s">
        <v>21</v>
      </c>
      <c r="N9" s="11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2025-03-15T22:56:19Z</dcterms:created>
  <dcterms:modified xsi:type="dcterms:W3CDTF">2025-07-03T10:30:24Z</dcterms:modified>
</cp:coreProperties>
</file>